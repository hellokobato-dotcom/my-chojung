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819893d08f6fe16/Desktop/"/>
    </mc:Choice>
  </mc:AlternateContent>
  <xr:revisionPtr revIDLastSave="47" documentId="8_{ECD2D223-140B-402D-84D9-955AABF94BB2}" xr6:coauthVersionLast="47" xr6:coauthVersionMax="47" xr10:uidLastSave="{FF78ABE7-EBBE-41A7-983F-646633B303BD}"/>
  <bookViews>
    <workbookView xWindow="-120" yWindow="-120" windowWidth="29040" windowHeight="15720" xr2:uid="{4509E15F-7645-4A6B-BB00-BF83DD045207}"/>
  </bookViews>
  <sheets>
    <sheet name="1월급여" sheetId="1" r:id="rId1"/>
  </sheets>
  <definedNames>
    <definedName name="_xlnm._FilterDatabase" localSheetId="0" hidden="1">'1월급여'!$B$1:$O$4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16" i="1" l="1"/>
  <c r="W16" i="1"/>
  <c r="U16" i="1"/>
  <c r="M16" i="1"/>
  <c r="Y15" i="1"/>
  <c r="P15" i="1"/>
  <c r="Y14" i="1"/>
  <c r="P14" i="1"/>
  <c r="Y13" i="1"/>
  <c r="P13" i="1"/>
  <c r="Y12" i="1"/>
  <c r="P12" i="1"/>
  <c r="Z12" i="1" s="1"/>
  <c r="Y11" i="1"/>
  <c r="P11" i="1"/>
  <c r="V10" i="1"/>
  <c r="O16" i="1"/>
  <c r="N16" i="1"/>
  <c r="L10" i="1"/>
  <c r="V9" i="1"/>
  <c r="T9" i="1"/>
  <c r="S9" i="1"/>
  <c r="Q9" i="1"/>
  <c r="P9" i="1"/>
  <c r="V8" i="1"/>
  <c r="T8" i="1"/>
  <c r="S8" i="1"/>
  <c r="Q8" i="1"/>
  <c r="P8" i="1"/>
  <c r="V7" i="1"/>
  <c r="T7" i="1"/>
  <c r="S7" i="1"/>
  <c r="Q7" i="1"/>
  <c r="P7" i="1"/>
  <c r="Z13" i="1" l="1"/>
  <c r="Z14" i="1"/>
  <c r="Z11" i="1"/>
  <c r="Z15" i="1"/>
  <c r="V16" i="1"/>
  <c r="R7" i="1"/>
  <c r="R8" i="1"/>
  <c r="Y8" i="1" s="1"/>
  <c r="Z8" i="1" s="1"/>
  <c r="R9" i="1"/>
  <c r="Y9" i="1" s="1"/>
  <c r="Z9" i="1" s="1"/>
  <c r="L16" i="1"/>
  <c r="T10" i="1"/>
  <c r="T16" i="1" s="1"/>
  <c r="S10" i="1"/>
  <c r="S16" i="1" s="1"/>
  <c r="Q10" i="1"/>
  <c r="P10" i="1"/>
  <c r="P16" i="1" l="1"/>
  <c r="R10" i="1"/>
  <c r="Y10" i="1" s="1"/>
  <c r="Z10" i="1" s="1"/>
  <c r="Q16" i="1"/>
  <c r="Y7" i="1"/>
  <c r="R16" i="1" l="1"/>
  <c r="Y16" i="1"/>
  <c r="Z7" i="1"/>
  <c r="Z16" i="1" s="1"/>
</calcChain>
</file>

<file path=xl/sharedStrings.xml><?xml version="1.0" encoding="utf-8"?>
<sst xmlns="http://schemas.openxmlformats.org/spreadsheetml/2006/main" count="58" uniqueCount="55">
  <si>
    <t>사원번호</t>
    <phoneticPr fontId="2" type="noConversion"/>
  </si>
  <si>
    <t>성명</t>
    <phoneticPr fontId="2" type="noConversion"/>
  </si>
  <si>
    <t>주민등록번호</t>
    <phoneticPr fontId="2" type="noConversion"/>
  </si>
  <si>
    <t>입사일</t>
    <phoneticPr fontId="2" type="noConversion"/>
  </si>
  <si>
    <t>구분</t>
    <phoneticPr fontId="2" type="noConversion"/>
  </si>
  <si>
    <t>부서</t>
    <phoneticPr fontId="2" type="noConversion"/>
  </si>
  <si>
    <t>약정시급</t>
    <phoneticPr fontId="2" type="noConversion"/>
  </si>
  <si>
    <t>연장근로
시간</t>
    <phoneticPr fontId="2" type="noConversion"/>
  </si>
  <si>
    <t>급여 지급 항목</t>
    <phoneticPr fontId="2" type="noConversion"/>
  </si>
  <si>
    <t>급여 공제 항목</t>
    <phoneticPr fontId="2" type="noConversion"/>
  </si>
  <si>
    <t>실지급액</t>
    <phoneticPr fontId="2" type="noConversion"/>
  </si>
  <si>
    <t>과세항목</t>
    <phoneticPr fontId="2" type="noConversion"/>
  </si>
  <si>
    <t>4대 보험료</t>
    <phoneticPr fontId="2" type="noConversion"/>
  </si>
  <si>
    <t>세금</t>
    <phoneticPr fontId="2" type="noConversion"/>
  </si>
  <si>
    <t>기타공제</t>
    <phoneticPr fontId="2" type="noConversion"/>
  </si>
  <si>
    <t>기본급</t>
    <phoneticPr fontId="2" type="noConversion"/>
  </si>
  <si>
    <t>상여</t>
    <phoneticPr fontId="2" type="noConversion"/>
  </si>
  <si>
    <t>연장근로수당</t>
    <phoneticPr fontId="2" type="noConversion"/>
  </si>
  <si>
    <t>주휴수당</t>
    <phoneticPr fontId="2" type="noConversion"/>
  </si>
  <si>
    <t>소계</t>
    <phoneticPr fontId="2" type="noConversion"/>
  </si>
  <si>
    <t>건강보험</t>
    <phoneticPr fontId="2" type="noConversion"/>
  </si>
  <si>
    <t>장기요양보험</t>
    <phoneticPr fontId="2" type="noConversion"/>
  </si>
  <si>
    <t>국민연금</t>
    <phoneticPr fontId="2" type="noConversion"/>
  </si>
  <si>
    <t>고용보험</t>
    <phoneticPr fontId="2" type="noConversion"/>
  </si>
  <si>
    <t>갑근세</t>
    <phoneticPr fontId="2" type="noConversion"/>
  </si>
  <si>
    <t>주민세</t>
    <phoneticPr fontId="2" type="noConversion"/>
  </si>
  <si>
    <t>가지급금</t>
    <phoneticPr fontId="2" type="noConversion"/>
  </si>
  <si>
    <t>기타</t>
    <phoneticPr fontId="2" type="noConversion"/>
  </si>
  <si>
    <t>홍길동</t>
    <phoneticPr fontId="2" type="noConversion"/>
  </si>
  <si>
    <t>801201-1234567</t>
    <phoneticPr fontId="2" type="noConversion"/>
  </si>
  <si>
    <t>21.01.05</t>
    <phoneticPr fontId="2" type="noConversion"/>
  </si>
  <si>
    <t>정직원</t>
    <phoneticPr fontId="2" type="noConversion"/>
  </si>
  <si>
    <t>월정액</t>
    <phoneticPr fontId="2" type="noConversion"/>
  </si>
  <si>
    <t>김길동</t>
    <phoneticPr fontId="2" type="noConversion"/>
  </si>
  <si>
    <t>801201-1234568</t>
  </si>
  <si>
    <t>22.02.01</t>
    <phoneticPr fontId="2" type="noConversion"/>
  </si>
  <si>
    <t>나길동</t>
    <phoneticPr fontId="2" type="noConversion"/>
  </si>
  <si>
    <t>801201-1234569</t>
  </si>
  <si>
    <t>22.03.01</t>
    <phoneticPr fontId="2" type="noConversion"/>
  </si>
  <si>
    <t>다길동</t>
    <phoneticPr fontId="2" type="noConversion"/>
  </si>
  <si>
    <t>801201-1234570</t>
  </si>
  <si>
    <t>22.04.01</t>
    <phoneticPr fontId="2" type="noConversion"/>
  </si>
  <si>
    <t>합        계</t>
    <phoneticPr fontId="2" type="noConversion"/>
  </si>
  <si>
    <t>계좌번호</t>
    <phoneticPr fontId="2" type="noConversion"/>
  </si>
  <si>
    <t>* 현재 법정근로시간은 주40시간, 연장근로 12시간 한도 내 연장 가능(최대 52시간)</t>
    <phoneticPr fontId="2" type="noConversion"/>
  </si>
  <si>
    <t>* 휴게 시간: 4시간 근무 시 30분 이상, 8시간 근무 시 1시간 이상 근무 도중 휴게시간 부여</t>
    <phoneticPr fontId="2" type="noConversion"/>
  </si>
  <si>
    <t>* 2026년 최저시급 10,320원</t>
    <phoneticPr fontId="2" type="noConversion"/>
  </si>
  <si>
    <t>초정 육전밀면 갈비탕 전문점</t>
    <phoneticPr fontId="2" type="noConversion"/>
  </si>
  <si>
    <t>2026년 03월 직원급여 지급대장</t>
    <phoneticPr fontId="2" type="noConversion"/>
  </si>
  <si>
    <t>은행</t>
    <phoneticPr fontId="2" type="noConversion"/>
  </si>
  <si>
    <t>일용직</t>
    <phoneticPr fontId="2" type="noConversion"/>
  </si>
  <si>
    <t>계약직</t>
    <phoneticPr fontId="2" type="noConversion"/>
  </si>
  <si>
    <t>대표이사</t>
    <phoneticPr fontId="2" type="noConversion"/>
  </si>
  <si>
    <t>홀메니저</t>
    <phoneticPr fontId="2" type="noConversion"/>
  </si>
  <si>
    <t>주방메니저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</si>
</sst>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_ ;[Red]\-#,##0\ "/>
    <numFmt numFmtId="177" formatCode="00\-000"/>
  </numFmts>
  <fonts count="5" x14ac:knownFonts="1">
    <font>
      <sz val="11"/>
      <color theme="1"/>
      <name val="맑은 고딕"/>
      <family val="2"/>
      <charset val="129"/>
      <scheme val="minor"/>
    </font>
    <font>
      <b/>
      <u/>
      <sz val="26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22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6">
    <xf numFmtId="0" fontId="0" fillId="0" borderId="0" xfId="0">
      <alignment vertical="center"/>
    </xf>
    <xf numFmtId="176" fontId="0" fillId="2" borderId="0" xfId="0" applyNumberFormat="1" applyFill="1">
      <alignment vertical="center"/>
    </xf>
    <xf numFmtId="14" fontId="0" fillId="2" borderId="0" xfId="0" applyNumberFormat="1" applyFill="1" applyAlignment="1">
      <alignment horizontal="center" vertical="center"/>
    </xf>
    <xf numFmtId="176" fontId="0" fillId="2" borderId="0" xfId="0" applyNumberFormat="1" applyFill="1" applyAlignment="1">
      <alignment horizontal="center" vertical="center"/>
    </xf>
    <xf numFmtId="176" fontId="3" fillId="3" borderId="1" xfId="0" applyNumberFormat="1" applyFont="1" applyFill="1" applyBorder="1" applyAlignment="1">
      <alignment horizontal="center" vertical="center"/>
    </xf>
    <xf numFmtId="176" fontId="3" fillId="2" borderId="0" xfId="0" applyNumberFormat="1" applyFont="1" applyFill="1">
      <alignment vertical="center"/>
    </xf>
    <xf numFmtId="176" fontId="3" fillId="2" borderId="0" xfId="0" applyNumberFormat="1" applyFont="1" applyFill="1" applyAlignment="1">
      <alignment horizontal="center" vertical="center"/>
    </xf>
    <xf numFmtId="177" fontId="0" fillId="2" borderId="1" xfId="0" applyNumberFormat="1" applyFill="1" applyBorder="1" applyAlignment="1">
      <alignment horizontal="center" vertical="center"/>
    </xf>
    <xf numFmtId="176" fontId="0" fillId="2" borderId="1" xfId="0" applyNumberFormat="1" applyFill="1" applyBorder="1" applyAlignment="1">
      <alignment horizontal="center" vertical="center"/>
    </xf>
    <xf numFmtId="176" fontId="0" fillId="2" borderId="1" xfId="0" applyNumberFormat="1" applyFill="1" applyBorder="1" applyAlignment="1">
      <alignment horizontal="right" vertical="center"/>
    </xf>
    <xf numFmtId="176" fontId="3" fillId="4" borderId="1" xfId="0" applyNumberFormat="1" applyFont="1" applyFill="1" applyBorder="1" applyAlignment="1">
      <alignment horizontal="right" vertical="center"/>
    </xf>
    <xf numFmtId="176" fontId="3" fillId="5" borderId="1" xfId="0" applyNumberFormat="1" applyFont="1" applyFill="1" applyBorder="1" applyAlignment="1">
      <alignment horizontal="right" vertical="center"/>
    </xf>
    <xf numFmtId="176" fontId="0" fillId="2" borderId="1" xfId="0" applyNumberFormat="1" applyFill="1" applyBorder="1">
      <alignment vertical="center"/>
    </xf>
    <xf numFmtId="177" fontId="0" fillId="2" borderId="2" xfId="0" applyNumberFormat="1" applyFill="1" applyBorder="1" applyAlignment="1">
      <alignment horizontal="center" vertical="center"/>
    </xf>
    <xf numFmtId="176" fontId="0" fillId="2" borderId="2" xfId="0" applyNumberFormat="1" applyFill="1" applyBorder="1" applyAlignment="1">
      <alignment horizontal="center" vertical="center"/>
    </xf>
    <xf numFmtId="176" fontId="0" fillId="2" borderId="2" xfId="0" applyNumberFormat="1" applyFill="1" applyBorder="1">
      <alignment vertical="center"/>
    </xf>
    <xf numFmtId="176" fontId="0" fillId="2" borderId="2" xfId="0" applyNumberFormat="1" applyFill="1" applyBorder="1" applyAlignment="1">
      <alignment horizontal="right" vertical="center"/>
    </xf>
    <xf numFmtId="176" fontId="3" fillId="4" borderId="2" xfId="0" applyNumberFormat="1" applyFont="1" applyFill="1" applyBorder="1" applyAlignment="1">
      <alignment horizontal="right" vertical="center"/>
    </xf>
    <xf numFmtId="176" fontId="3" fillId="5" borderId="2" xfId="0" applyNumberFormat="1" applyFont="1" applyFill="1" applyBorder="1" applyAlignment="1">
      <alignment horizontal="right" vertical="center"/>
    </xf>
    <xf numFmtId="177" fontId="3" fillId="3" borderId="10" xfId="0" applyNumberFormat="1" applyFont="1" applyFill="1" applyBorder="1" applyAlignment="1">
      <alignment horizontal="center" vertical="center"/>
    </xf>
    <xf numFmtId="176" fontId="3" fillId="3" borderId="11" xfId="0" applyNumberFormat="1" applyFont="1" applyFill="1" applyBorder="1" applyAlignment="1">
      <alignment horizontal="right" vertical="center"/>
    </xf>
    <xf numFmtId="14" fontId="0" fillId="2" borderId="0" xfId="0" applyNumberFormat="1" applyFill="1" applyAlignment="1">
      <alignment horizontal="left" vertical="center"/>
    </xf>
    <xf numFmtId="176" fontId="1" fillId="2" borderId="0" xfId="0" applyNumberFormat="1" applyFont="1" applyFill="1" applyAlignment="1">
      <alignment horizontal="center" vertical="center"/>
    </xf>
    <xf numFmtId="14" fontId="3" fillId="3" borderId="1" xfId="0" applyNumberFormat="1" applyFont="1" applyFill="1" applyBorder="1" applyAlignment="1">
      <alignment horizontal="center" vertical="center"/>
    </xf>
    <xf numFmtId="176" fontId="3" fillId="3" borderId="1" xfId="0" applyNumberFormat="1" applyFont="1" applyFill="1" applyBorder="1" applyAlignment="1">
      <alignment horizontal="center" vertical="center"/>
    </xf>
    <xf numFmtId="176" fontId="3" fillId="3" borderId="2" xfId="0" applyNumberFormat="1" applyFont="1" applyFill="1" applyBorder="1" applyAlignment="1">
      <alignment horizontal="center" vertical="center"/>
    </xf>
    <xf numFmtId="176" fontId="3" fillId="3" borderId="3" xfId="0" applyNumberFormat="1" applyFont="1" applyFill="1" applyBorder="1" applyAlignment="1">
      <alignment horizontal="center" vertical="center"/>
    </xf>
    <xf numFmtId="176" fontId="3" fillId="3" borderId="7" xfId="0" applyNumberFormat="1" applyFont="1" applyFill="1" applyBorder="1" applyAlignment="1">
      <alignment horizontal="center" vertical="center"/>
    </xf>
    <xf numFmtId="177" fontId="3" fillId="3" borderId="8" xfId="0" applyNumberFormat="1" applyFont="1" applyFill="1" applyBorder="1" applyAlignment="1">
      <alignment horizontal="center" vertical="center"/>
    </xf>
    <xf numFmtId="177" fontId="3" fillId="3" borderId="9" xfId="0" applyNumberFormat="1" applyFont="1" applyFill="1" applyBorder="1" applyAlignment="1">
      <alignment horizontal="center" vertical="center"/>
    </xf>
    <xf numFmtId="176" fontId="3" fillId="3" borderId="2" xfId="0" applyNumberFormat="1" applyFont="1" applyFill="1" applyBorder="1" applyAlignment="1">
      <alignment horizontal="center" vertical="center" wrapText="1"/>
    </xf>
    <xf numFmtId="176" fontId="3" fillId="3" borderId="3" xfId="0" applyNumberFormat="1" applyFont="1" applyFill="1" applyBorder="1" applyAlignment="1">
      <alignment horizontal="center" vertical="center" wrapText="1"/>
    </xf>
    <xf numFmtId="176" fontId="3" fillId="3" borderId="4" xfId="0" applyNumberFormat="1" applyFont="1" applyFill="1" applyBorder="1" applyAlignment="1">
      <alignment horizontal="center" vertical="center"/>
    </xf>
    <xf numFmtId="176" fontId="3" fillId="3" borderId="5" xfId="0" applyNumberFormat="1" applyFont="1" applyFill="1" applyBorder="1" applyAlignment="1">
      <alignment horizontal="center" vertical="center"/>
    </xf>
    <xf numFmtId="176" fontId="3" fillId="3" borderId="6" xfId="0" applyNumberFormat="1" applyFont="1" applyFill="1" applyBorder="1" applyAlignment="1">
      <alignment horizontal="center" vertical="center"/>
    </xf>
    <xf numFmtId="176" fontId="4" fillId="2" borderId="0" xfId="0" applyNumberFormat="1" applyFont="1" applyFill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201084</xdr:colOff>
      <xdr:row>0</xdr:row>
      <xdr:rowOff>84666</xdr:rowOff>
    </xdr:from>
    <xdr:to>
      <xdr:col>11</xdr:col>
      <xdr:colOff>550334</xdr:colOff>
      <xdr:row>2</xdr:row>
      <xdr:rowOff>95165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21791C2-25E7-CF1A-F3D5-ADFB7507D0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07917" y="84666"/>
          <a:ext cx="1047750" cy="1005332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92A564-4C34-460C-801F-FF6AE82DA01E}">
  <dimension ref="A1:Z21"/>
  <sheetViews>
    <sheetView tabSelected="1" zoomScale="90" zoomScaleNormal="90" workbookViewId="0">
      <selection activeCell="M20" sqref="M20"/>
    </sheetView>
  </sheetViews>
  <sheetFormatPr defaultColWidth="8.75" defaultRowHeight="16.5" x14ac:dyDescent="0.3"/>
  <cols>
    <col min="1" max="1" width="2.75" style="1" customWidth="1"/>
    <col min="2" max="2" width="10.5" style="2" customWidth="1"/>
    <col min="3" max="3" width="10.375" style="3" customWidth="1"/>
    <col min="4" max="4" width="15.875" style="1" bestFit="1" customWidth="1"/>
    <col min="5" max="5" width="10" style="1" customWidth="1"/>
    <col min="6" max="6" width="15.875" style="1" customWidth="1"/>
    <col min="7" max="7" width="9.625" style="1" customWidth="1"/>
    <col min="8" max="8" width="11.125" style="1" bestFit="1" customWidth="1"/>
    <col min="9" max="9" width="11.125" style="1" customWidth="1"/>
    <col min="10" max="11" width="9.125" style="1" bestFit="1" customWidth="1"/>
    <col min="12" max="15" width="16.375" style="1" customWidth="1"/>
    <col min="16" max="16" width="12.25" style="1" bestFit="1" customWidth="1"/>
    <col min="17" max="25" width="11.25" style="1" customWidth="1"/>
    <col min="26" max="26" width="12.25" style="1" bestFit="1" customWidth="1"/>
    <col min="27" max="16384" width="8.75" style="1"/>
  </cols>
  <sheetData>
    <row r="1" spans="1:26" ht="39" x14ac:dyDescent="0.3">
      <c r="B1" s="22" t="s">
        <v>48</v>
      </c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</row>
    <row r="2" spans="1:26" ht="39" customHeight="1" x14ac:dyDescent="0.3">
      <c r="A2" s="35" t="s">
        <v>47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</row>
    <row r="3" spans="1:26" x14ac:dyDescent="0.3">
      <c r="A3" s="35"/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</row>
    <row r="4" spans="1:26" s="5" customFormat="1" x14ac:dyDescent="0.3">
      <c r="B4" s="23" t="s">
        <v>0</v>
      </c>
      <c r="C4" s="24" t="s">
        <v>1</v>
      </c>
      <c r="D4" s="24" t="s">
        <v>2</v>
      </c>
      <c r="E4" s="25" t="s">
        <v>49</v>
      </c>
      <c r="F4" s="25" t="s">
        <v>43</v>
      </c>
      <c r="G4" s="24" t="s">
        <v>3</v>
      </c>
      <c r="H4" s="24" t="s">
        <v>4</v>
      </c>
      <c r="I4" s="25" t="s">
        <v>5</v>
      </c>
      <c r="J4" s="25" t="s">
        <v>6</v>
      </c>
      <c r="K4" s="30" t="s">
        <v>7</v>
      </c>
      <c r="L4" s="24" t="s">
        <v>8</v>
      </c>
      <c r="M4" s="24"/>
      <c r="N4" s="24"/>
      <c r="O4" s="24"/>
      <c r="P4" s="24"/>
      <c r="Q4" s="24" t="s">
        <v>9</v>
      </c>
      <c r="R4" s="24"/>
      <c r="S4" s="24"/>
      <c r="T4" s="24"/>
      <c r="U4" s="24"/>
      <c r="V4" s="24"/>
      <c r="W4" s="24"/>
      <c r="X4" s="24"/>
      <c r="Y4" s="24"/>
      <c r="Z4" s="24" t="s">
        <v>10</v>
      </c>
    </row>
    <row r="5" spans="1:26" s="5" customFormat="1" x14ac:dyDescent="0.3">
      <c r="B5" s="23"/>
      <c r="C5" s="24"/>
      <c r="D5" s="24"/>
      <c r="E5" s="26"/>
      <c r="F5" s="26"/>
      <c r="G5" s="24"/>
      <c r="H5" s="24"/>
      <c r="I5" s="26"/>
      <c r="J5" s="26"/>
      <c r="K5" s="31"/>
      <c r="L5" s="32" t="s">
        <v>11</v>
      </c>
      <c r="M5" s="33"/>
      <c r="N5" s="33"/>
      <c r="O5" s="34"/>
      <c r="P5" s="4"/>
      <c r="Q5" s="32" t="s">
        <v>12</v>
      </c>
      <c r="R5" s="33"/>
      <c r="S5" s="33"/>
      <c r="T5" s="34"/>
      <c r="U5" s="32" t="s">
        <v>13</v>
      </c>
      <c r="V5" s="34"/>
      <c r="W5" s="32" t="s">
        <v>14</v>
      </c>
      <c r="X5" s="34"/>
      <c r="Y5" s="4"/>
      <c r="Z5" s="24"/>
    </row>
    <row r="6" spans="1:26" s="6" customFormat="1" x14ac:dyDescent="0.3">
      <c r="B6" s="23"/>
      <c r="C6" s="24"/>
      <c r="D6" s="24"/>
      <c r="E6" s="27"/>
      <c r="F6" s="27"/>
      <c r="G6" s="24"/>
      <c r="H6" s="24"/>
      <c r="I6" s="27"/>
      <c r="J6" s="27"/>
      <c r="K6" s="27"/>
      <c r="L6" s="4" t="s">
        <v>15</v>
      </c>
      <c r="M6" s="4" t="s">
        <v>16</v>
      </c>
      <c r="N6" s="4" t="s">
        <v>17</v>
      </c>
      <c r="O6" s="4" t="s">
        <v>18</v>
      </c>
      <c r="P6" s="4" t="s">
        <v>19</v>
      </c>
      <c r="Q6" s="4" t="s">
        <v>20</v>
      </c>
      <c r="R6" s="4" t="s">
        <v>21</v>
      </c>
      <c r="S6" s="4" t="s">
        <v>22</v>
      </c>
      <c r="T6" s="4" t="s">
        <v>23</v>
      </c>
      <c r="U6" s="4" t="s">
        <v>24</v>
      </c>
      <c r="V6" s="4" t="s">
        <v>25</v>
      </c>
      <c r="W6" s="4" t="s">
        <v>26</v>
      </c>
      <c r="X6" s="4" t="s">
        <v>27</v>
      </c>
      <c r="Y6" s="4" t="s">
        <v>19</v>
      </c>
      <c r="Z6" s="24"/>
    </row>
    <row r="7" spans="1:26" s="3" customFormat="1" x14ac:dyDescent="0.3">
      <c r="B7" s="7">
        <v>1</v>
      </c>
      <c r="C7" s="8" t="s">
        <v>28</v>
      </c>
      <c r="D7" s="8" t="s">
        <v>29</v>
      </c>
      <c r="E7" s="8"/>
      <c r="F7" s="8"/>
      <c r="G7" s="8" t="s">
        <v>30</v>
      </c>
      <c r="H7" s="8" t="s">
        <v>31</v>
      </c>
      <c r="I7" s="8" t="s">
        <v>52</v>
      </c>
      <c r="J7" s="8" t="s">
        <v>32</v>
      </c>
      <c r="K7" s="8"/>
      <c r="L7" s="9">
        <v>2500000</v>
      </c>
      <c r="M7" s="9"/>
      <c r="N7" s="9"/>
      <c r="O7" s="9"/>
      <c r="P7" s="10">
        <f t="shared" ref="P7:P15" si="0">SUM(L7:O7)</f>
        <v>2500000</v>
      </c>
      <c r="Q7" s="9">
        <f>ROUNDDOWN(SUM(L7:O7)*3.545%,-1)</f>
        <v>88620</v>
      </c>
      <c r="R7" s="9">
        <f>ROUNDDOWN(Q7*12.81%,-1)</f>
        <v>11350</v>
      </c>
      <c r="S7" s="9">
        <f>ROUND(SUM(L7:O7)*4.5%,-1)</f>
        <v>112500</v>
      </c>
      <c r="T7" s="9">
        <f>ROUND(SUM(L7:O7)*0.9%,-1)</f>
        <v>22500</v>
      </c>
      <c r="U7" s="9"/>
      <c r="V7" s="9">
        <f>ROUNDDOWN(U7*10%, -1)</f>
        <v>0</v>
      </c>
      <c r="W7" s="9"/>
      <c r="X7" s="9"/>
      <c r="Y7" s="10">
        <f>SUM(Q7:X7)</f>
        <v>234970</v>
      </c>
      <c r="Z7" s="11">
        <f>P7-Y7</f>
        <v>2265030</v>
      </c>
    </row>
    <row r="8" spans="1:26" s="3" customFormat="1" x14ac:dyDescent="0.3">
      <c r="B8" s="7">
        <v>2</v>
      </c>
      <c r="C8" s="8" t="s">
        <v>33</v>
      </c>
      <c r="D8" s="8" t="s">
        <v>34</v>
      </c>
      <c r="E8" s="8"/>
      <c r="F8" s="8"/>
      <c r="G8" s="8" t="s">
        <v>35</v>
      </c>
      <c r="H8" s="8" t="s">
        <v>50</v>
      </c>
      <c r="I8" s="8" t="s">
        <v>53</v>
      </c>
      <c r="J8" s="8">
        <v>10320</v>
      </c>
      <c r="K8" s="8"/>
      <c r="L8" s="9">
        <v>2300000</v>
      </c>
      <c r="M8" s="9"/>
      <c r="N8" s="9"/>
      <c r="O8" s="9"/>
      <c r="P8" s="10">
        <f t="shared" si="0"/>
        <v>2300000</v>
      </c>
      <c r="Q8" s="9">
        <f>ROUNDDOWN(SUM(L8:O8)*3.545%,-1)</f>
        <v>81530</v>
      </c>
      <c r="R8" s="9">
        <f t="shared" ref="R8:R10" si="1">ROUNDDOWN(Q8*12.81%,-1)</f>
        <v>10440</v>
      </c>
      <c r="S8" s="9">
        <f>ROUND(SUM(L8:O8)*4.5%,-1)</f>
        <v>103500</v>
      </c>
      <c r="T8" s="9">
        <f>ROUND(SUM(L8:O8)*0.9%,-1)</f>
        <v>20700</v>
      </c>
      <c r="U8" s="9"/>
      <c r="V8" s="9">
        <f t="shared" ref="V8:V10" si="2">ROUNDDOWN(U8*10%, -1)</f>
        <v>0</v>
      </c>
      <c r="W8" s="9"/>
      <c r="X8" s="9"/>
      <c r="Y8" s="10">
        <f t="shared" ref="Y8:Y15" si="3">SUM(Q8:X8)</f>
        <v>216170</v>
      </c>
      <c r="Z8" s="11">
        <f t="shared" ref="Z8:Z15" si="4">P8-Y8</f>
        <v>2083830</v>
      </c>
    </row>
    <row r="9" spans="1:26" s="3" customFormat="1" x14ac:dyDescent="0.3">
      <c r="B9" s="7">
        <v>3</v>
      </c>
      <c r="C9" s="8" t="s">
        <v>36</v>
      </c>
      <c r="D9" s="8" t="s">
        <v>37</v>
      </c>
      <c r="E9" s="8"/>
      <c r="F9" s="8"/>
      <c r="G9" s="8" t="s">
        <v>38</v>
      </c>
      <c r="H9" s="8" t="s">
        <v>50</v>
      </c>
      <c r="I9" s="8" t="s">
        <v>54</v>
      </c>
      <c r="J9" s="8">
        <v>10320</v>
      </c>
      <c r="K9" s="8"/>
      <c r="L9" s="9">
        <v>2100000</v>
      </c>
      <c r="M9" s="9"/>
      <c r="N9" s="9"/>
      <c r="O9" s="9"/>
      <c r="P9" s="10">
        <f t="shared" si="0"/>
        <v>2100000</v>
      </c>
      <c r="Q9" s="9">
        <f>ROUNDDOWN(SUM(L9:O9)*3.545%,-1)</f>
        <v>74440</v>
      </c>
      <c r="R9" s="9">
        <f t="shared" si="1"/>
        <v>9530</v>
      </c>
      <c r="S9" s="9">
        <f>ROUND(SUM(L9:O9)*4.5%,-1)</f>
        <v>94500</v>
      </c>
      <c r="T9" s="9">
        <f>ROUND(SUM(L9:O9)*0.9%,-1)</f>
        <v>18900</v>
      </c>
      <c r="U9" s="9"/>
      <c r="V9" s="9">
        <f t="shared" si="2"/>
        <v>0</v>
      </c>
      <c r="W9" s="9"/>
      <c r="X9" s="9"/>
      <c r="Y9" s="10">
        <f t="shared" si="3"/>
        <v>197370</v>
      </c>
      <c r="Z9" s="11">
        <f t="shared" si="4"/>
        <v>1902630</v>
      </c>
    </row>
    <row r="10" spans="1:26" s="3" customFormat="1" x14ac:dyDescent="0.3">
      <c r="B10" s="7">
        <v>4</v>
      </c>
      <c r="C10" s="8" t="s">
        <v>39</v>
      </c>
      <c r="D10" s="8" t="s">
        <v>40</v>
      </c>
      <c r="E10" s="8"/>
      <c r="F10" s="8"/>
      <c r="G10" s="8" t="s">
        <v>41</v>
      </c>
      <c r="H10" s="8" t="s">
        <v>51</v>
      </c>
      <c r="I10" s="8" t="s">
        <v>53</v>
      </c>
      <c r="J10" s="8">
        <v>10320</v>
      </c>
      <c r="K10" s="8"/>
      <c r="L10" s="9">
        <f>J10*8*22</f>
        <v>1816320</v>
      </c>
      <c r="M10" s="9"/>
      <c r="N10" s="9"/>
      <c r="O10" s="9"/>
      <c r="P10" s="10">
        <f t="shared" si="0"/>
        <v>1816320</v>
      </c>
      <c r="Q10" s="9">
        <f>ROUNDDOWN(SUM(L10:O10)*3.545%,-1)</f>
        <v>64380</v>
      </c>
      <c r="R10" s="9">
        <f t="shared" si="1"/>
        <v>8240</v>
      </c>
      <c r="S10" s="9">
        <f>ROUND(SUM(L10:O10)*4.5%,-1)</f>
        <v>81730</v>
      </c>
      <c r="T10" s="9">
        <f>ROUND(SUM(L10:O10)*0.9%,-1)</f>
        <v>16350</v>
      </c>
      <c r="U10" s="9"/>
      <c r="V10" s="9">
        <f t="shared" si="2"/>
        <v>0</v>
      </c>
      <c r="W10" s="9"/>
      <c r="X10" s="9"/>
      <c r="Y10" s="10">
        <f t="shared" si="3"/>
        <v>170700</v>
      </c>
      <c r="Z10" s="11">
        <f t="shared" si="4"/>
        <v>1645620</v>
      </c>
    </row>
    <row r="11" spans="1:26" s="3" customFormat="1" x14ac:dyDescent="0.3">
      <c r="B11" s="7"/>
      <c r="C11" s="8"/>
      <c r="D11" s="8"/>
      <c r="E11" s="8"/>
      <c r="F11" s="8"/>
      <c r="G11" s="8"/>
      <c r="H11" s="8"/>
      <c r="I11" s="8"/>
      <c r="J11" s="8"/>
      <c r="K11" s="8"/>
      <c r="L11" s="9"/>
      <c r="M11" s="9"/>
      <c r="N11" s="9"/>
      <c r="O11" s="9"/>
      <c r="P11" s="10">
        <f t="shared" si="0"/>
        <v>0</v>
      </c>
      <c r="Q11" s="9"/>
      <c r="R11" s="9"/>
      <c r="S11" s="9"/>
      <c r="T11" s="9"/>
      <c r="U11" s="9"/>
      <c r="V11" s="9"/>
      <c r="W11" s="9"/>
      <c r="X11" s="9"/>
      <c r="Y11" s="10">
        <f t="shared" si="3"/>
        <v>0</v>
      </c>
      <c r="Z11" s="11">
        <f t="shared" si="4"/>
        <v>0</v>
      </c>
    </row>
    <row r="12" spans="1:26" x14ac:dyDescent="0.3">
      <c r="B12" s="7"/>
      <c r="C12" s="8"/>
      <c r="D12" s="12"/>
      <c r="E12" s="12"/>
      <c r="F12" s="12"/>
      <c r="G12" s="12"/>
      <c r="H12" s="12"/>
      <c r="I12" s="12"/>
      <c r="J12" s="12"/>
      <c r="K12" s="12"/>
      <c r="L12" s="9"/>
      <c r="M12" s="9"/>
      <c r="N12" s="9"/>
      <c r="O12" s="9"/>
      <c r="P12" s="10">
        <f t="shared" si="0"/>
        <v>0</v>
      </c>
      <c r="Q12" s="9"/>
      <c r="R12" s="9"/>
      <c r="S12" s="9"/>
      <c r="T12" s="9"/>
      <c r="U12" s="9"/>
      <c r="V12" s="9"/>
      <c r="W12" s="9"/>
      <c r="X12" s="9"/>
      <c r="Y12" s="10">
        <f t="shared" si="3"/>
        <v>0</v>
      </c>
      <c r="Z12" s="11">
        <f t="shared" si="4"/>
        <v>0</v>
      </c>
    </row>
    <row r="13" spans="1:26" x14ac:dyDescent="0.3">
      <c r="B13" s="7"/>
      <c r="C13" s="8"/>
      <c r="D13" s="12"/>
      <c r="E13" s="12"/>
      <c r="F13" s="12"/>
      <c r="G13" s="12"/>
      <c r="H13" s="12"/>
      <c r="I13" s="12"/>
      <c r="J13" s="12"/>
      <c r="K13" s="12"/>
      <c r="L13" s="9"/>
      <c r="M13" s="9"/>
      <c r="N13" s="9"/>
      <c r="O13" s="9"/>
      <c r="P13" s="10">
        <f t="shared" si="0"/>
        <v>0</v>
      </c>
      <c r="Q13" s="9"/>
      <c r="R13" s="9"/>
      <c r="S13" s="9"/>
      <c r="T13" s="9"/>
      <c r="U13" s="9"/>
      <c r="V13" s="9"/>
      <c r="W13" s="9"/>
      <c r="X13" s="9"/>
      <c r="Y13" s="10">
        <f t="shared" si="3"/>
        <v>0</v>
      </c>
      <c r="Z13" s="11">
        <f t="shared" si="4"/>
        <v>0</v>
      </c>
    </row>
    <row r="14" spans="1:26" x14ac:dyDescent="0.3">
      <c r="B14" s="7"/>
      <c r="C14" s="8"/>
      <c r="D14" s="12"/>
      <c r="E14" s="12"/>
      <c r="F14" s="12"/>
      <c r="G14" s="12"/>
      <c r="H14" s="12"/>
      <c r="I14" s="12"/>
      <c r="J14" s="12"/>
      <c r="K14" s="12"/>
      <c r="L14" s="9"/>
      <c r="M14" s="9"/>
      <c r="N14" s="9"/>
      <c r="O14" s="9"/>
      <c r="P14" s="10">
        <f t="shared" si="0"/>
        <v>0</v>
      </c>
      <c r="Q14" s="9"/>
      <c r="R14" s="9"/>
      <c r="S14" s="9"/>
      <c r="T14" s="9"/>
      <c r="U14" s="9"/>
      <c r="V14" s="9"/>
      <c r="W14" s="9"/>
      <c r="X14" s="9"/>
      <c r="Y14" s="10">
        <f t="shared" si="3"/>
        <v>0</v>
      </c>
      <c r="Z14" s="11">
        <f t="shared" si="4"/>
        <v>0</v>
      </c>
    </row>
    <row r="15" spans="1:26" ht="17.25" thickBot="1" x14ac:dyDescent="0.35">
      <c r="B15" s="13"/>
      <c r="C15" s="14"/>
      <c r="D15" s="15"/>
      <c r="E15" s="15"/>
      <c r="F15" s="15"/>
      <c r="G15" s="15"/>
      <c r="H15" s="15"/>
      <c r="I15" s="15"/>
      <c r="J15" s="15"/>
      <c r="K15" s="15"/>
      <c r="L15" s="16"/>
      <c r="M15" s="16"/>
      <c r="N15" s="16"/>
      <c r="O15" s="16"/>
      <c r="P15" s="17">
        <f t="shared" si="0"/>
        <v>0</v>
      </c>
      <c r="Q15" s="16"/>
      <c r="R15" s="16"/>
      <c r="S15" s="16"/>
      <c r="T15" s="16"/>
      <c r="U15" s="16"/>
      <c r="V15" s="16"/>
      <c r="W15" s="16"/>
      <c r="X15" s="16"/>
      <c r="Y15" s="17">
        <f t="shared" si="3"/>
        <v>0</v>
      </c>
      <c r="Z15" s="18">
        <f t="shared" si="4"/>
        <v>0</v>
      </c>
    </row>
    <row r="16" spans="1:26" s="5" customFormat="1" ht="17.25" thickTop="1" x14ac:dyDescent="0.3">
      <c r="B16" s="28" t="s">
        <v>42</v>
      </c>
      <c r="C16" s="29"/>
      <c r="D16" s="29"/>
      <c r="E16" s="29"/>
      <c r="F16" s="29"/>
      <c r="G16" s="29"/>
      <c r="H16" s="29"/>
      <c r="I16" s="29"/>
      <c r="J16" s="19"/>
      <c r="K16" s="19"/>
      <c r="L16" s="20">
        <f>SUM(L7:L15)</f>
        <v>8716320</v>
      </c>
      <c r="M16" s="20">
        <f t="shared" ref="M16:Z16" si="5">SUM(M7:M15)</f>
        <v>0</v>
      </c>
      <c r="N16" s="20">
        <f t="shared" si="5"/>
        <v>0</v>
      </c>
      <c r="O16" s="20">
        <f t="shared" si="5"/>
        <v>0</v>
      </c>
      <c r="P16" s="20">
        <f t="shared" si="5"/>
        <v>8716320</v>
      </c>
      <c r="Q16" s="20">
        <f t="shared" si="5"/>
        <v>308970</v>
      </c>
      <c r="R16" s="20">
        <f t="shared" si="5"/>
        <v>39560</v>
      </c>
      <c r="S16" s="20">
        <f t="shared" si="5"/>
        <v>392230</v>
      </c>
      <c r="T16" s="20">
        <f t="shared" si="5"/>
        <v>78450</v>
      </c>
      <c r="U16" s="20">
        <f t="shared" si="5"/>
        <v>0</v>
      </c>
      <c r="V16" s="20">
        <f t="shared" si="5"/>
        <v>0</v>
      </c>
      <c r="W16" s="20">
        <f t="shared" si="5"/>
        <v>0</v>
      </c>
      <c r="X16" s="20">
        <f t="shared" si="5"/>
        <v>0</v>
      </c>
      <c r="Y16" s="20">
        <f t="shared" si="5"/>
        <v>819210</v>
      </c>
      <c r="Z16" s="20">
        <f t="shared" si="5"/>
        <v>7897110</v>
      </c>
    </row>
    <row r="19" spans="2:2" x14ac:dyDescent="0.3">
      <c r="B19" s="21" t="s">
        <v>44</v>
      </c>
    </row>
    <row r="20" spans="2:2" x14ac:dyDescent="0.3">
      <c r="B20" s="21" t="s">
        <v>45</v>
      </c>
    </row>
    <row r="21" spans="2:2" x14ac:dyDescent="0.3">
      <c r="B21" s="21" t="s">
        <v>46</v>
      </c>
    </row>
  </sheetData>
  <mergeCells count="20">
    <mergeCell ref="B16:I16"/>
    <mergeCell ref="K4:K6"/>
    <mergeCell ref="L4:P4"/>
    <mergeCell ref="Q4:Y4"/>
    <mergeCell ref="Z4:Z6"/>
    <mergeCell ref="L5:O5"/>
    <mergeCell ref="Q5:T5"/>
    <mergeCell ref="U5:V5"/>
    <mergeCell ref="W5:X5"/>
    <mergeCell ref="E4:E6"/>
    <mergeCell ref="B1:Z1"/>
    <mergeCell ref="B4:B6"/>
    <mergeCell ref="C4:C6"/>
    <mergeCell ref="D4:D6"/>
    <mergeCell ref="G4:G6"/>
    <mergeCell ref="H4:H6"/>
    <mergeCell ref="I4:I6"/>
    <mergeCell ref="J4:J6"/>
    <mergeCell ref="F4:F6"/>
    <mergeCell ref="A2:Z3"/>
  </mergeCells>
  <phoneticPr fontId="2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1월급여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신흥섭</dc:creator>
  <cp:lastModifiedBy>young chan kim</cp:lastModifiedBy>
  <dcterms:created xsi:type="dcterms:W3CDTF">2023-01-17T01:44:06Z</dcterms:created>
  <dcterms:modified xsi:type="dcterms:W3CDTF">2026-03-12T15:50:37Z</dcterms:modified>
</cp:coreProperties>
</file>
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19893d08f6fe16/Desktop/"/>
    </mc:Choice>
  </mc:AlternateContent>
  <xr:revisionPtr revIDLastSave="0" documentId="8_{2F2A3C32-28D3-48C8-9665-83A1E4A621A5}" xr6:coauthVersionLast="47" xr6:coauthVersionMax="47" xr10:uidLastSave="{00000000-0000-0000-0000-000000000000}"/>
  <bookViews>
    <workbookView xWindow="-113" yWindow="-113" windowWidth="24267" windowHeight="13023" xr2:uid="{1689B0A9-A304-4C6C-A1BB-D99E55D8C893}"/>
  </bookViews>
  <sheets>
    <sheet name="sample_급여대장" sheetId="1" r:id="rId1"/>
    <sheet name="sample_급여명세서" sheetId="3" r:id="rId2"/>
  </sheets>
  <definedNames>
    <definedName name="_xlnm.Print_Area" localSheetId="1">sample_급여명세서!$A$2:$G$33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3" l="1"/>
  <c r="D25" i="3"/>
  <c r="D26" i="3" l="1"/>
</calcChain>
</file>

<file path=xl/sharedStrings.xml><?xml version="1.0" encoding="utf-8"?>
<sst xmlns="http://schemas.openxmlformats.org/spreadsheetml/2006/main" count="69" uniqueCount="59">
  <si>
    <t>직원명</t>
  </si>
  <si>
    <t>주민등록번호</t>
  </si>
  <si>
    <t>부서</t>
  </si>
  <si>
    <t>직급</t>
  </si>
  <si>
    <t>입사일</t>
  </si>
  <si>
    <t>기본급</t>
  </si>
  <si>
    <t>기타 상여</t>
  </si>
  <si>
    <t>휴일 수당</t>
  </si>
  <si>
    <t>소득세</t>
  </si>
  <si>
    <t>건강보험료</t>
  </si>
  <si>
    <t>국민연금</t>
  </si>
  <si>
    <t>고용보험료</t>
  </si>
  <si>
    <t>기타 공제</t>
  </si>
  <si>
    <t>실지급액</t>
  </si>
  <si>
    <t>총 근로 시간</t>
  </si>
  <si>
    <t>초과 근로 시간</t>
  </si>
  <si>
    <t>지급일</t>
  </si>
  <si>
    <t>지급 방법</t>
  </si>
  <si>
    <t>홍길동</t>
  </si>
  <si>
    <t>900101-1234567</t>
  </si>
  <si>
    <t>경영지원팀</t>
  </si>
  <si>
    <t>과장</t>
  </si>
  <si>
    <t>계좌이체 (국민은행 123-4567-890123)</t>
  </si>
  <si>
    <t>급여기간</t>
  </si>
  <si>
    <t>2024-05-01 ~ 2024-05-31</t>
  </si>
  <si>
    <t>기업에 맞게 작성하시면 됩니다.</t>
    <phoneticPr fontId="3" type="noConversion"/>
  </si>
  <si>
    <t>세법에 맞게 수식이 반영되어있습니다.</t>
    <phoneticPr fontId="3" type="noConversion"/>
  </si>
  <si>
    <t>급여명세서</t>
    <phoneticPr fontId="3" type="noConversion"/>
  </si>
  <si>
    <t>급여내역</t>
    <phoneticPr fontId="3" type="noConversion"/>
  </si>
  <si>
    <t>항목명</t>
    <phoneticPr fontId="3" type="noConversion"/>
  </si>
  <si>
    <t>금액(원)</t>
    <phoneticPr fontId="3" type="noConversion"/>
  </si>
  <si>
    <t>지급항목</t>
    <phoneticPr fontId="3" type="noConversion"/>
  </si>
  <si>
    <t>공제항목</t>
    <phoneticPr fontId="3" type="noConversion"/>
  </si>
  <si>
    <t>산출식 또는 산출방법</t>
    <phoneticPr fontId="3" type="noConversion"/>
  </si>
  <si>
    <t>합계</t>
    <phoneticPr fontId="3" type="noConversion"/>
  </si>
  <si>
    <t>실 지급액</t>
    <phoneticPr fontId="3" type="noConversion"/>
  </si>
  <si>
    <t>연장근로시간수 * 통상시급 * 1.5</t>
    <phoneticPr fontId="3" type="noConversion"/>
  </si>
  <si>
    <t>휴일근로시간수 * 통상시급 * 1.5</t>
    <phoneticPr fontId="3" type="noConversion"/>
  </si>
  <si>
    <t>기타 상여</t>
    <phoneticPr fontId="3" type="noConversion"/>
  </si>
  <si>
    <t>연장 수당</t>
    <phoneticPr fontId="3" type="noConversion"/>
  </si>
  <si>
    <t>휴일 수당</t>
    <phoneticPr fontId="3" type="noConversion"/>
  </si>
  <si>
    <t>장기요양보험</t>
    <phoneticPr fontId="3" type="noConversion"/>
  </si>
  <si>
    <t>고용보험</t>
    <phoneticPr fontId="3" type="noConversion"/>
  </si>
  <si>
    <t>소득세</t>
    <phoneticPr fontId="3" type="noConversion"/>
  </si>
  <si>
    <t>지방소득세</t>
    <phoneticPr fontId="3" type="noConversion"/>
  </si>
  <si>
    <t>국민연금</t>
    <phoneticPr fontId="3" type="noConversion"/>
  </si>
  <si>
    <t>건강보험</t>
    <phoneticPr fontId="3" type="noConversion"/>
  </si>
  <si>
    <t>(취득신고 월 보수 또는 과세대상 임금)*4.5%</t>
    <phoneticPr fontId="3" type="noConversion"/>
  </si>
  <si>
    <t>(보수총액 또는 과세대상 임금)*3.454%</t>
    <phoneticPr fontId="3" type="noConversion"/>
  </si>
  <si>
    <t>(건강보험료)*0.9%</t>
    <phoneticPr fontId="3" type="noConversion"/>
  </si>
  <si>
    <t>(보수총액 또는 과세대상 임금)*0.9%</t>
    <phoneticPr fontId="3" type="noConversion"/>
  </si>
  <si>
    <t>간이세액표적용 참고링크</t>
    <phoneticPr fontId="3" type="noConversion"/>
  </si>
  <si>
    <t>홍길동</t>
    <phoneticPr fontId="3" type="noConversion"/>
  </si>
  <si>
    <t>https://metapay.co.kr/</t>
    <phoneticPr fontId="3" type="noConversion"/>
  </si>
  <si>
    <t>업계 1위 기업이 사용하는 
No1.페이롤 서비스 메타페이</t>
    <phoneticPr fontId="3" type="noConversion"/>
  </si>
  <si>
    <t>초정육전밀면 갈비탕 전문점</t>
    <phoneticPr fontId="3" type="noConversion"/>
  </si>
  <si>
    <t>대표 김영찬  (인)</t>
    <phoneticPr fontId="3" type="noConversion"/>
  </si>
  <si>
    <t>한달 동안 노고에 감사드리며 수고 많으셨습니다.</t>
    <phoneticPr fontId="3" type="noConversion"/>
  </si>
  <si>
    <r>
      <t xml:space="preserve">   </t>
    </r>
    <r>
      <rPr>
        <sz val="24"/>
        <color theme="1"/>
        <rFont val="맑은 고딕"/>
        <family val="3"/>
        <charset val="129"/>
        <scheme val="minor"/>
      </rPr>
      <t xml:space="preserve"> </t>
    </r>
    <r>
      <rPr>
        <b/>
        <sz val="24"/>
        <color theme="1"/>
        <rFont val="맑은 고딕"/>
        <family val="3"/>
        <charset val="129"/>
        <scheme val="minor"/>
      </rPr>
      <t>초정 육전밀면 갈비탕 전문점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</si>
</sst>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7030A0"/>
      <name val="맑은 고딕"/>
      <family val="3"/>
      <charset val="129"/>
      <scheme val="minor"/>
    </font>
    <font>
      <sz val="11"/>
      <color rgb="FF7030A0"/>
      <name val="맑은 고딕"/>
      <family val="2"/>
      <charset val="129"/>
      <scheme val="minor"/>
    </font>
    <font>
      <sz val="11"/>
      <color rgb="FF7030A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14" fontId="0" fillId="3" borderId="1" xfId="0" applyNumberFormat="1" applyFill="1" applyBorder="1" applyAlignment="1">
      <alignment horizontal="left" vertical="top" wrapText="1"/>
    </xf>
    <xf numFmtId="3" fontId="0" fillId="3" borderId="1" xfId="0" applyNumberFormat="1" applyFill="1" applyBorder="1" applyAlignment="1">
      <alignment horizontal="left" vertical="top" wrapText="1"/>
    </xf>
    <xf numFmtId="0" fontId="4" fillId="0" borderId="0" xfId="0" applyFo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 wrapText="1"/>
    </xf>
    <xf numFmtId="0" fontId="6" fillId="4" borderId="0" xfId="0" applyFont="1" applyFill="1">
      <alignment vertical="center"/>
    </xf>
    <xf numFmtId="0" fontId="7" fillId="3" borderId="0" xfId="0" applyFont="1" applyFill="1">
      <alignment vertical="center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3" fontId="8" fillId="0" borderId="1" xfId="0" applyNumberFormat="1" applyFont="1" applyBorder="1" applyAlignment="1">
      <alignment horizontal="left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1" xfId="0" quotePrefix="1" applyFont="1" applyBorder="1" applyAlignment="1">
      <alignment vertical="center" wrapText="1"/>
    </xf>
    <xf numFmtId="0" fontId="10" fillId="0" borderId="1" xfId="0" quotePrefix="1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11" fillId="0" borderId="0" xfId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 inden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8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3" fontId="11" fillId="0" borderId="1" xfId="1" applyNumberForma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0" fillId="0" borderId="0" xfId="0" applyFill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23</xdr:row>
      <xdr:rowOff>0</xdr:rowOff>
    </xdr:from>
    <xdr:to>
      <xdr:col>17</xdr:col>
      <xdr:colOff>304800</xdr:colOff>
      <xdr:row>23</xdr:row>
      <xdr:rowOff>307938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EDC4C825-B540-B5F7-A69E-0682A9D55C7B}"/>
            </a:ext>
          </a:extLst>
        </xdr:cNvPr>
        <xdr:cNvSpPr>
          <a:spLocks noChangeAspect="1" noChangeArrowheads="1"/>
        </xdr:cNvSpPr>
      </xdr:nvSpPr>
      <xdr:spPr bwMode="auto">
        <a:xfrm>
          <a:off x="17289780" y="568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37419</xdr:colOff>
      <xdr:row>0</xdr:row>
      <xdr:rowOff>28063</xdr:rowOff>
    </xdr:from>
    <xdr:to>
      <xdr:col>2</xdr:col>
      <xdr:colOff>130964</xdr:colOff>
      <xdr:row>2</xdr:row>
      <xdr:rowOff>140317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1B4A51A-B605-3767-90E7-8E6BF6840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81" y="28063"/>
          <a:ext cx="795130" cy="7951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35</xdr:row>
      <xdr:rowOff>0</xdr:rowOff>
    </xdr:from>
    <xdr:to>
      <xdr:col>5</xdr:col>
      <xdr:colOff>304800</xdr:colOff>
      <xdr:row>36</xdr:row>
      <xdr:rowOff>86958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0D0A4118-BBFD-427E-A43E-355E24A5483E}"/>
            </a:ext>
          </a:extLst>
        </xdr:cNvPr>
        <xdr:cNvSpPr>
          <a:spLocks noChangeAspect="1" noChangeArrowheads="1"/>
        </xdr:cNvSpPr>
      </xdr:nvSpPr>
      <xdr:spPr bwMode="auto">
        <a:xfrm>
          <a:off x="17289780" y="5684520"/>
          <a:ext cx="304800" cy="3079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304800</xdr:colOff>
      <xdr:row>34</xdr:row>
      <xdr:rowOff>460891</xdr:rowOff>
    </xdr:from>
    <xdr:to>
      <xdr:col>5</xdr:col>
      <xdr:colOff>1435698</xdr:colOff>
      <xdr:row>36</xdr:row>
      <xdr:rowOff>140396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6CD6415-0B32-4CB4-ACE4-BB4557A2B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8820" y="11601331"/>
          <a:ext cx="1130898" cy="56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metapay.co.kr/" TargetMode="External"/><Relationship Id="rId1" Type="http://schemas.openxmlformats.org/officeDocument/2006/relationships/hyperlink" Target="https://metapay.co.kr/blog/bonus-tax-calculation-tactics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31DB2-92B8-4835-9AC6-8F68752AEB77}">
  <dimension ref="B2:S25"/>
  <sheetViews>
    <sheetView showGridLines="0" tabSelected="1" zoomScale="85" zoomScaleNormal="85" workbookViewId="0">
      <selection activeCell="F11" sqref="F11"/>
    </sheetView>
  </sheetViews>
  <sheetFormatPr defaultRowHeight="18.2" x14ac:dyDescent="0.4"/>
  <cols>
    <col min="1" max="1" width="2.8984375" customWidth="1"/>
    <col min="3" max="3" width="18.3984375" customWidth="1"/>
    <col min="4" max="4" width="12" customWidth="1"/>
    <col min="5" max="5" width="10.69921875" customWidth="1"/>
    <col min="10" max="17" width="12.5" customWidth="1"/>
    <col min="18" max="18" width="37.69921875" customWidth="1"/>
  </cols>
  <sheetData>
    <row r="2" spans="2:19" ht="35.1" x14ac:dyDescent="0.4">
      <c r="B2" s="6"/>
      <c r="C2" t="s">
        <v>58</v>
      </c>
    </row>
    <row r="4" spans="2:19" ht="36.35" x14ac:dyDescent="0.4">
      <c r="B4" s="2" t="s">
        <v>0</v>
      </c>
      <c r="C4" s="2" t="s">
        <v>1</v>
      </c>
      <c r="D4" s="2" t="s">
        <v>2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</row>
    <row r="5" spans="2:19" x14ac:dyDescent="0.4">
      <c r="B5" s="3" t="s">
        <v>52</v>
      </c>
      <c r="C5" s="3" t="s">
        <v>19</v>
      </c>
      <c r="D5" s="3" t="s">
        <v>20</v>
      </c>
      <c r="E5" s="4">
        <v>43831</v>
      </c>
      <c r="F5" s="5">
        <v>3000000</v>
      </c>
      <c r="G5" s="5">
        <v>200000</v>
      </c>
      <c r="H5" s="5">
        <v>100000</v>
      </c>
      <c r="I5" s="5">
        <v>200000</v>
      </c>
      <c r="J5" s="5">
        <v>150000</v>
      </c>
      <c r="K5" s="5">
        <v>135000</v>
      </c>
      <c r="L5" s="5">
        <v>30000</v>
      </c>
      <c r="M5" s="5">
        <v>50000</v>
      </c>
      <c r="N5" s="5">
        <v>3285000</v>
      </c>
      <c r="O5" s="3">
        <v>160</v>
      </c>
      <c r="P5" s="3">
        <v>20</v>
      </c>
      <c r="Q5" s="4">
        <v>45437</v>
      </c>
      <c r="R5" s="3" t="s">
        <v>22</v>
      </c>
      <c r="S5" s="1"/>
    </row>
    <row r="6" spans="2:19" x14ac:dyDescent="0.4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2:19" x14ac:dyDescent="0.4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2:19" x14ac:dyDescent="0.4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2:19" x14ac:dyDescent="0.4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2:19" x14ac:dyDescent="0.4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spans="2:19" x14ac:dyDescent="0.4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2:19" x14ac:dyDescent="0.4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spans="2:19" x14ac:dyDescent="0.4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2:19" x14ac:dyDescent="0.4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2:19" x14ac:dyDescent="0.4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2:19" x14ac:dyDescent="0.4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2:18" x14ac:dyDescent="0.4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spans="2:18" x14ac:dyDescent="0.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2:18" x14ac:dyDescent="0.4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spans="2:18" x14ac:dyDescent="0.4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2:18" x14ac:dyDescent="0.4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3" spans="2:18" x14ac:dyDescent="0.4">
      <c r="R23" s="25"/>
    </row>
    <row r="24" spans="2:18" ht="33.65" customHeight="1" x14ac:dyDescent="0.4">
      <c r="R24" s="23"/>
    </row>
    <row r="25" spans="2:18" x14ac:dyDescent="0.4">
      <c r="R25" s="39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A552E-B373-47AF-AE8A-1AD73999D846}">
  <dimension ref="B2:I37"/>
  <sheetViews>
    <sheetView showGridLines="0" view="pageBreakPreview" zoomScaleNormal="85" zoomScaleSheetLayoutView="100" workbookViewId="0">
      <selection activeCell="E27" sqref="E27"/>
    </sheetView>
  </sheetViews>
  <sheetFormatPr defaultRowHeight="18.2" x14ac:dyDescent="0.4"/>
  <cols>
    <col min="1" max="1" width="2.5" customWidth="1"/>
    <col min="2" max="2" width="16.5" customWidth="1"/>
    <col min="3" max="3" width="16.19921875" customWidth="1"/>
    <col min="4" max="4" width="17" customWidth="1"/>
    <col min="5" max="6" width="19.8984375" customWidth="1"/>
    <col min="7" max="7" width="2.5" customWidth="1"/>
    <col min="8" max="8" width="4" customWidth="1"/>
  </cols>
  <sheetData>
    <row r="2" spans="2:9" ht="22.55" customHeight="1" x14ac:dyDescent="0.4"/>
    <row r="3" spans="2:9" ht="31.95" x14ac:dyDescent="0.4">
      <c r="B3" s="30" t="s">
        <v>27</v>
      </c>
      <c r="C3" s="30"/>
      <c r="D3" s="30"/>
      <c r="E3" s="30"/>
      <c r="F3" s="30"/>
    </row>
    <row r="5" spans="2:9" ht="22.55" customHeight="1" x14ac:dyDescent="0.4">
      <c r="B5" s="7" t="s">
        <v>0</v>
      </c>
      <c r="C5" s="14" t="s">
        <v>18</v>
      </c>
      <c r="D5" s="7" t="s">
        <v>4</v>
      </c>
      <c r="E5" s="37">
        <v>43831</v>
      </c>
      <c r="F5" s="37"/>
      <c r="I5" s="12" t="s">
        <v>26</v>
      </c>
    </row>
    <row r="6" spans="2:9" ht="22.55" customHeight="1" x14ac:dyDescent="0.4">
      <c r="B6" s="7" t="s">
        <v>2</v>
      </c>
      <c r="C6" s="15" t="s">
        <v>20</v>
      </c>
      <c r="D6" s="7" t="s">
        <v>23</v>
      </c>
      <c r="E6" s="38" t="s">
        <v>24</v>
      </c>
      <c r="F6" s="38"/>
      <c r="I6" s="13" t="s">
        <v>25</v>
      </c>
    </row>
    <row r="7" spans="2:9" ht="22.55" customHeight="1" x14ac:dyDescent="0.4">
      <c r="B7" s="7" t="s">
        <v>3</v>
      </c>
      <c r="C7" s="15" t="s">
        <v>21</v>
      </c>
      <c r="D7" s="7" t="s">
        <v>16</v>
      </c>
      <c r="E7" s="37">
        <v>45437</v>
      </c>
      <c r="F7" s="37"/>
    </row>
    <row r="9" spans="2:9" ht="26.3" customHeight="1" x14ac:dyDescent="0.4">
      <c r="B9" s="34" t="s">
        <v>28</v>
      </c>
      <c r="C9" s="34"/>
      <c r="D9" s="34"/>
      <c r="E9" s="34"/>
      <c r="F9" s="34"/>
    </row>
    <row r="10" spans="2:9" ht="26.3" customHeight="1" x14ac:dyDescent="0.4">
      <c r="B10" s="34" t="s">
        <v>31</v>
      </c>
      <c r="C10" s="9" t="s">
        <v>29</v>
      </c>
      <c r="D10" s="9" t="s">
        <v>30</v>
      </c>
      <c r="E10" s="34" t="s">
        <v>33</v>
      </c>
      <c r="F10" s="34"/>
    </row>
    <row r="11" spans="2:9" ht="26.3" customHeight="1" x14ac:dyDescent="0.4">
      <c r="B11" s="34"/>
      <c r="C11" s="22" t="s">
        <v>5</v>
      </c>
      <c r="D11" s="16"/>
      <c r="E11" s="35"/>
      <c r="F11" s="35"/>
    </row>
    <row r="12" spans="2:9" ht="26.3" customHeight="1" x14ac:dyDescent="0.4">
      <c r="B12" s="34"/>
      <c r="C12" s="11" t="s">
        <v>38</v>
      </c>
      <c r="D12" s="16"/>
      <c r="E12" s="35"/>
      <c r="F12" s="35"/>
    </row>
    <row r="13" spans="2:9" ht="26.3" customHeight="1" x14ac:dyDescent="0.4">
      <c r="B13" s="34"/>
      <c r="C13" s="21" t="s">
        <v>39</v>
      </c>
      <c r="D13" s="16"/>
      <c r="E13" s="35" t="s">
        <v>36</v>
      </c>
      <c r="F13" s="35"/>
    </row>
    <row r="14" spans="2:9" ht="26.3" customHeight="1" x14ac:dyDescent="0.4">
      <c r="B14" s="34"/>
      <c r="C14" s="11" t="s">
        <v>40</v>
      </c>
      <c r="D14" s="16"/>
      <c r="E14" s="35" t="s">
        <v>37</v>
      </c>
      <c r="F14" s="35"/>
    </row>
    <row r="15" spans="2:9" ht="26.3" customHeight="1" x14ac:dyDescent="0.4">
      <c r="B15" s="34"/>
      <c r="C15" s="11"/>
      <c r="D15" s="16"/>
      <c r="E15" s="35"/>
      <c r="F15" s="35"/>
    </row>
    <row r="16" spans="2:9" ht="26.3" customHeight="1" x14ac:dyDescent="0.4">
      <c r="B16" s="34"/>
      <c r="C16" s="9" t="s">
        <v>34</v>
      </c>
      <c r="D16" s="17">
        <f>SUM(D11:D14)</f>
        <v>0</v>
      </c>
      <c r="E16" s="35"/>
      <c r="F16" s="35"/>
    </row>
    <row r="17" spans="2:6" ht="26.3" customHeight="1" x14ac:dyDescent="0.4">
      <c r="B17" s="34" t="s">
        <v>32</v>
      </c>
      <c r="C17" s="9" t="s">
        <v>29</v>
      </c>
      <c r="D17" s="9" t="s">
        <v>30</v>
      </c>
      <c r="E17" s="32" t="s">
        <v>33</v>
      </c>
      <c r="F17" s="32"/>
    </row>
    <row r="18" spans="2:6" ht="26.3" customHeight="1" x14ac:dyDescent="0.4">
      <c r="B18" s="34"/>
      <c r="C18" s="19" t="s">
        <v>45</v>
      </c>
      <c r="D18" s="16"/>
      <c r="E18" s="29" t="s">
        <v>47</v>
      </c>
      <c r="F18" s="29"/>
    </row>
    <row r="19" spans="2:6" ht="26.3" customHeight="1" x14ac:dyDescent="0.4">
      <c r="B19" s="34"/>
      <c r="C19" s="20" t="s">
        <v>46</v>
      </c>
      <c r="D19" s="16"/>
      <c r="E19" s="29" t="s">
        <v>48</v>
      </c>
      <c r="F19" s="29"/>
    </row>
    <row r="20" spans="2:6" ht="26.3" customHeight="1" x14ac:dyDescent="0.4">
      <c r="B20" s="34"/>
      <c r="C20" s="19" t="s">
        <v>41</v>
      </c>
      <c r="D20" s="16"/>
      <c r="E20" s="29" t="s">
        <v>49</v>
      </c>
      <c r="F20" s="29"/>
    </row>
    <row r="21" spans="2:6" ht="26.3" customHeight="1" x14ac:dyDescent="0.4">
      <c r="B21" s="34"/>
      <c r="C21" s="19" t="s">
        <v>42</v>
      </c>
      <c r="D21" s="16"/>
      <c r="E21" s="29" t="s">
        <v>50</v>
      </c>
      <c r="F21" s="29"/>
    </row>
    <row r="22" spans="2:6" ht="26.3" customHeight="1" x14ac:dyDescent="0.4">
      <c r="B22" s="34"/>
      <c r="C22" s="19" t="s">
        <v>43</v>
      </c>
      <c r="D22" s="16"/>
      <c r="E22" s="31" t="s">
        <v>51</v>
      </c>
      <c r="F22" s="31"/>
    </row>
    <row r="23" spans="2:6" ht="26.3" customHeight="1" x14ac:dyDescent="0.4">
      <c r="B23" s="34"/>
      <c r="C23" s="19" t="s">
        <v>44</v>
      </c>
      <c r="D23" s="16"/>
      <c r="E23" s="29"/>
      <c r="F23" s="29"/>
    </row>
    <row r="24" spans="2:6" ht="26.3" customHeight="1" x14ac:dyDescent="0.4">
      <c r="B24" s="34"/>
      <c r="C24" s="19"/>
      <c r="D24" s="16"/>
      <c r="E24" s="29"/>
      <c r="F24" s="29"/>
    </row>
    <row r="25" spans="2:6" ht="26.3" customHeight="1" x14ac:dyDescent="0.4">
      <c r="B25" s="34"/>
      <c r="C25" s="9" t="s">
        <v>34</v>
      </c>
      <c r="D25" s="17">
        <f>SUM(D23:D23)</f>
        <v>0</v>
      </c>
      <c r="E25" s="32"/>
      <c r="F25" s="32"/>
    </row>
    <row r="26" spans="2:6" ht="26.3" customHeight="1" x14ac:dyDescent="0.4">
      <c r="B26" s="36" t="s">
        <v>35</v>
      </c>
      <c r="C26" s="36"/>
      <c r="D26" s="18">
        <f>D16-D25</f>
        <v>0</v>
      </c>
      <c r="E26" s="33"/>
      <c r="F26" s="33"/>
    </row>
    <row r="29" spans="2:6" x14ac:dyDescent="0.4">
      <c r="B29" s="27" t="s">
        <v>57</v>
      </c>
      <c r="C29" s="27"/>
      <c r="D29" s="27"/>
      <c r="E29" s="27"/>
      <c r="F29" s="27"/>
    </row>
    <row r="30" spans="2:6" x14ac:dyDescent="0.4">
      <c r="B30" s="8"/>
      <c r="C30" s="8"/>
      <c r="D30" s="8"/>
      <c r="E30" s="8"/>
      <c r="F30" s="8"/>
    </row>
    <row r="31" spans="2:6" ht="21.3" x14ac:dyDescent="0.4">
      <c r="B31" s="28" t="s">
        <v>55</v>
      </c>
      <c r="C31" s="28"/>
      <c r="D31" s="28"/>
      <c r="E31" s="28"/>
      <c r="F31" s="28"/>
    </row>
    <row r="32" spans="2:6" ht="21.3" x14ac:dyDescent="0.4">
      <c r="B32" s="28" t="s">
        <v>56</v>
      </c>
      <c r="C32" s="28"/>
      <c r="D32" s="28"/>
      <c r="E32" s="28"/>
      <c r="F32" s="28"/>
    </row>
    <row r="33" spans="5:6" ht="22.55" customHeight="1" x14ac:dyDescent="0.4"/>
    <row r="35" spans="5:6" ht="52.3" customHeight="1" x14ac:dyDescent="0.4">
      <c r="E35" s="26" t="s">
        <v>54</v>
      </c>
      <c r="F35" s="26"/>
    </row>
    <row r="36" spans="5:6" x14ac:dyDescent="0.4">
      <c r="F36" s="23"/>
    </row>
    <row r="37" spans="5:6" x14ac:dyDescent="0.4">
      <c r="F37" s="24" t="s">
        <v>53</v>
      </c>
    </row>
  </sheetData>
  <mergeCells count="29">
    <mergeCell ref="E19:F19"/>
    <mergeCell ref="E20:F20"/>
    <mergeCell ref="E12:F12"/>
    <mergeCell ref="E16:F16"/>
    <mergeCell ref="E17:F17"/>
    <mergeCell ref="E5:F5"/>
    <mergeCell ref="E7:F7"/>
    <mergeCell ref="E6:F6"/>
    <mergeCell ref="B3:F3"/>
    <mergeCell ref="E21:F21"/>
    <mergeCell ref="E22:F22"/>
    <mergeCell ref="E23:F23"/>
    <mergeCell ref="E25:F25"/>
    <mergeCell ref="B9:F9"/>
    <mergeCell ref="E15:F15"/>
    <mergeCell ref="E13:F13"/>
    <mergeCell ref="E14:F14"/>
    <mergeCell ref="E18:F18"/>
    <mergeCell ref="B10:B16"/>
    <mergeCell ref="B17:B25"/>
    <mergeCell ref="E10:F10"/>
    <mergeCell ref="E11:F11"/>
    <mergeCell ref="E35:F35"/>
    <mergeCell ref="B29:F29"/>
    <mergeCell ref="B31:F31"/>
    <mergeCell ref="B32:F32"/>
    <mergeCell ref="E24:F24"/>
    <mergeCell ref="E26:F26"/>
    <mergeCell ref="B26:C26"/>
  </mergeCells>
  <phoneticPr fontId="3" type="noConversion"/>
  <hyperlinks>
    <hyperlink ref="E22:F22" r:id="rId1" display="간이세액표적용 참고링크" xr:uid="{3F55453C-AD63-4891-B1F3-E590E1AA5581}"/>
    <hyperlink ref="F37" r:id="rId2" xr:uid="{48DA2B8D-C2D8-4E2F-AF27-7389BCA05468}"/>
  </hyperlinks>
  <pageMargins left="0.7" right="0.7" top="0.75" bottom="0.75" header="0.3" footer="0.3"/>
  <pageSetup paperSize="9" scale="84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sample_급여대장</vt:lpstr>
      <vt:lpstr>sample_급여명세서</vt:lpstr>
      <vt:lpstr>sample_급여명세서!Print_Area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은정 안</dc:creator>
  <cp:lastModifiedBy>young chan kim</cp:lastModifiedBy>
  <cp:lastPrinted>2024-05-21T06:11:35Z</cp:lastPrinted>
  <dcterms:created xsi:type="dcterms:W3CDTF">2024-05-21T05:43:42Z</dcterms:created>
  <dcterms:modified xsi:type="dcterms:W3CDTF">2026-03-11T16:16:13Z</dcterms:modified>
</cp:coreProperties>
</file>